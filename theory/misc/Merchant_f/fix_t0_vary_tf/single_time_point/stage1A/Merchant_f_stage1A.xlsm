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3" i="1" l="1"/>
  <c r="E31" i="1"/>
  <c r="E9" i="1"/>
  <c r="E90" i="1"/>
  <c r="E38" i="1"/>
  <c r="E61" i="1"/>
  <c r="E45" i="1"/>
  <c r="E63" i="1"/>
  <c r="E55" i="1"/>
  <c r="E29" i="1"/>
  <c r="E101" i="1"/>
  <c r="E41" i="1"/>
  <c r="E100" i="1"/>
  <c r="E27" i="1"/>
  <c r="E7" i="1"/>
  <c r="E28" i="1"/>
  <c r="E51" i="1"/>
  <c r="E30" i="1"/>
  <c r="E78" i="1"/>
  <c r="E47" i="1"/>
  <c r="E22" i="1"/>
  <c r="E71" i="1"/>
  <c r="E80" i="1"/>
  <c r="E86" i="1"/>
  <c r="E94" i="1"/>
  <c r="E97" i="1"/>
  <c r="E69" i="1"/>
  <c r="E72" i="1"/>
  <c r="E64" i="1"/>
  <c r="E83" i="1"/>
  <c r="E56" i="1"/>
  <c r="E96" i="1"/>
  <c r="E87" i="1"/>
  <c r="E88" i="1"/>
  <c r="E26" i="1"/>
  <c r="E85" i="1"/>
  <c r="E92" i="1"/>
  <c r="E73" i="1"/>
  <c r="E36" i="1"/>
  <c r="E59" i="1"/>
  <c r="E25" i="1"/>
  <c r="E13" i="1"/>
  <c r="E34" i="1"/>
  <c r="E57" i="1"/>
  <c r="E49" i="1"/>
  <c r="E75" i="1"/>
  <c r="E23" i="1"/>
  <c r="E74" i="1"/>
  <c r="E91" i="1"/>
  <c r="E62" i="1"/>
  <c r="E4" i="1" l="1"/>
  <c r="E3" i="1"/>
  <c r="E15" i="1"/>
  <c r="E40" i="1"/>
  <c r="E44" i="1"/>
  <c r="E10" i="1"/>
  <c r="E6" i="1"/>
  <c r="E14" i="1"/>
  <c r="E66" i="1"/>
  <c r="E46" i="1"/>
  <c r="E17" i="1"/>
  <c r="E24" i="1"/>
  <c r="E39" i="1"/>
  <c r="E43" i="1"/>
  <c r="E11" i="1"/>
  <c r="E8" i="1"/>
  <c r="E12" i="1"/>
  <c r="E48" i="1"/>
  <c r="E42" i="1"/>
  <c r="E5" i="1"/>
  <c r="E33" i="1"/>
  <c r="E37" i="1"/>
  <c r="E21" i="1"/>
  <c r="E58" i="1"/>
  <c r="E76" i="1"/>
  <c r="E20" i="1"/>
  <c r="E35" i="1"/>
  <c r="E16" i="1"/>
  <c r="E19" i="1"/>
  <c r="E93" i="1"/>
  <c r="E82" i="1"/>
  <c r="E84" i="1"/>
  <c r="E54" i="1"/>
  <c r="E99" i="1"/>
  <c r="E18" i="1"/>
  <c r="E95" i="1"/>
  <c r="E77" i="1"/>
  <c r="E79" i="1"/>
  <c r="E70" i="1"/>
  <c r="E60" i="1"/>
  <c r="E81" i="1"/>
  <c r="E65" i="1"/>
  <c r="E98" i="1"/>
  <c r="E52" i="1"/>
  <c r="E89" i="1"/>
  <c r="E68" i="1"/>
  <c r="E50" i="1"/>
  <c r="E32" i="1"/>
  <c r="E67" i="1"/>
  <c r="E2" i="1"/>
  <c r="F53" i="1" l="1"/>
  <c r="F55" i="1"/>
  <c r="F51" i="1"/>
  <c r="F94" i="1"/>
  <c r="F87" i="1"/>
  <c r="F25" i="1"/>
  <c r="F91" i="1"/>
  <c r="F75" i="1"/>
  <c r="F56" i="1"/>
  <c r="F31" i="1"/>
  <c r="F29" i="1"/>
  <c r="F30" i="1"/>
  <c r="F97" i="1"/>
  <c r="F88" i="1"/>
  <c r="F13" i="1"/>
  <c r="F62" i="1"/>
  <c r="F7" i="1"/>
  <c r="F9" i="1"/>
  <c r="F101" i="1"/>
  <c r="F78" i="1"/>
  <c r="F69" i="1"/>
  <c r="F26" i="1"/>
  <c r="F34" i="1"/>
  <c r="F83" i="1"/>
  <c r="F90" i="1"/>
  <c r="F41" i="1"/>
  <c r="F47" i="1"/>
  <c r="F72" i="1"/>
  <c r="F85" i="1"/>
  <c r="F57" i="1"/>
  <c r="F71" i="1"/>
  <c r="F45" i="1"/>
  <c r="F23" i="1"/>
  <c r="F38" i="1"/>
  <c r="F100" i="1"/>
  <c r="F22" i="1"/>
  <c r="F64" i="1"/>
  <c r="F92" i="1"/>
  <c r="F49" i="1"/>
  <c r="F27" i="1"/>
  <c r="F73" i="1"/>
  <c r="F80" i="1"/>
  <c r="F61" i="1"/>
  <c r="F63" i="1"/>
  <c r="F28" i="1"/>
  <c r="F86" i="1"/>
  <c r="F96" i="1"/>
  <c r="F59" i="1"/>
  <c r="F74" i="1"/>
  <c r="F36" i="1"/>
  <c r="F4" i="1"/>
  <c r="F32" i="1"/>
  <c r="F60" i="1"/>
  <c r="F84" i="1"/>
  <c r="F58" i="1"/>
  <c r="F8" i="1"/>
  <c r="F14" i="1"/>
  <c r="F50" i="1"/>
  <c r="F70" i="1"/>
  <c r="F82" i="1"/>
  <c r="F21" i="1"/>
  <c r="F11" i="1"/>
  <c r="F6" i="1"/>
  <c r="F68" i="1"/>
  <c r="F79" i="1"/>
  <c r="F93" i="1"/>
  <c r="F37" i="1"/>
  <c r="F43" i="1"/>
  <c r="F10" i="1"/>
  <c r="F89" i="1"/>
  <c r="F77" i="1"/>
  <c r="F19" i="1"/>
  <c r="F33" i="1"/>
  <c r="F39" i="1"/>
  <c r="F44" i="1"/>
  <c r="F52" i="1"/>
  <c r="F95" i="1"/>
  <c r="F16" i="1"/>
  <c r="F5" i="1"/>
  <c r="F24" i="1"/>
  <c r="F40" i="1"/>
  <c r="F98" i="1"/>
  <c r="F18" i="1"/>
  <c r="F35" i="1"/>
  <c r="F42" i="1"/>
  <c r="F17" i="1"/>
  <c r="F15" i="1"/>
  <c r="F2" i="1"/>
  <c r="F65" i="1"/>
  <c r="F99" i="1"/>
  <c r="F20" i="1"/>
  <c r="F48" i="1"/>
  <c r="F46" i="1"/>
  <c r="F3" i="1"/>
  <c r="F67" i="1"/>
  <c r="F81" i="1"/>
  <c r="F54" i="1"/>
  <c r="F76" i="1"/>
  <c r="F12" i="1"/>
  <c r="F66" i="1"/>
</calcChain>
</file>

<file path=xl/sharedStrings.xml><?xml version="1.0" encoding="utf-8"?>
<sst xmlns="http://schemas.openxmlformats.org/spreadsheetml/2006/main" count="105" uniqueCount="105">
  <si>
    <t>Pathway Name</t>
  </si>
  <si>
    <t>Pathway Probability</t>
  </si>
  <si>
    <t>#OH</t>
  </si>
  <si>
    <t>f</t>
  </si>
  <si>
    <t>cumulative f</t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</si>
  <si>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</si>
  <si>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</si>
  <si>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</si>
  <si>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</si>
  <si>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</si>
  <si>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</si>
  <si>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</si>
  <si>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</si>
  <si>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</si>
  <si>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</si>
  <si>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</si>
  <si>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</si>
  <si>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</si>
  <si>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</si>
  <si>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</si>
  <si>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</si>
  <si>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</si>
  <si>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</si>
  <si>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</si>
  <si>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</si>
  <si>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</si>
  <si>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</si>
  <si>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</si>
  <si>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</si>
  <si>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</si>
  <si>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</si>
  <si>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</si>
  <si>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</si>
  <si>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</si>
  <si>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</si>
  <si>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ipropyloo=&gt;HO2+C3H6--&gt;</t>
    </r>
    <r>
      <rPr>
        <sz val="13"/>
        <color rgb="FFFF0000"/>
        <rFont val="Calibri Light"/>
        <family val="2"/>
        <scheme val="major"/>
      </rPr>
      <t>[C3H6]</t>
    </r>
    <r>
      <rPr>
        <sz val="13"/>
        <color theme="3"/>
        <rFont val="Calibri Light"/>
        <family val="2"/>
        <scheme val="major"/>
      </rPr>
      <t>C3H6+HO2=&gt;propen1ol+OH--&gt;</t>
    </r>
    <r>
      <rPr>
        <sz val="13"/>
        <color rgb="FFFF0000"/>
        <rFont val="Calibri Light"/>
        <family val="2"/>
        <scheme val="major"/>
      </rPr>
      <t>[propen1ol]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</si>
  <si>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</si>
  <si>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</si>
  <si>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</si>
  <si>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</si>
  <si>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</si>
  <si>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</si>
  <si>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</si>
  <si>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</si>
  <si>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</si>
  <si>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</si>
  <si>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</si>
  <si>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</si>
  <si>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</si>
  <si>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</si>
  <si>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</si>
  <si>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CH3CH2OO+C3H8=&gt;CH3CH2OOH+npropyl--&gt;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</si>
  <si>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</si>
  <si>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</si>
  <si>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</si>
  <si>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</si>
  <si>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</si>
  <si>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</si>
  <si>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</si>
  <si>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</si>
  <si>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</si>
  <si>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</si>
  <si>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</si>
  <si>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</si>
  <si>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[CH3OOH]</t>
    </r>
    <r>
      <rPr>
        <sz val="13"/>
        <color theme="3"/>
        <rFont val="Calibri Light"/>
        <family val="2"/>
        <scheme val="major"/>
      </rPr>
      <t>CH3OOH=&gt;CH3O+OH--&gt;</t>
    </r>
    <r>
      <rPr>
        <sz val="13"/>
        <color rgb="FFFF0000"/>
        <rFont val="Calibri Light"/>
        <family val="2"/>
        <scheme val="major"/>
      </rPr>
      <t>[CH3O]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</si>
  <si>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</si>
  <si>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</si>
  <si>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</si>
  <si>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</si>
  <si>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</si>
  <si>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[CH3CH2OOH]</t>
    </r>
    <r>
      <rPr>
        <sz val="13"/>
        <color theme="3"/>
        <rFont val="Calibri Light"/>
        <family val="2"/>
        <scheme val="major"/>
      </rPr>
      <t>CH3CH2OOH=&gt;ethoxy+OH--&gt;</t>
    </r>
    <r>
      <rPr>
        <sz val="13"/>
        <color rgb="FFFF0000"/>
        <rFont val="Calibri Light"/>
        <family val="2"/>
        <scheme val="major"/>
      </rPr>
      <t>[ethoxy]</t>
    </r>
    <r>
      <rPr>
        <sz val="13"/>
        <color theme="3"/>
        <rFont val="Calibri Light"/>
        <family val="2"/>
        <scheme val="major"/>
      </rPr>
      <t>ethoxy=&gt;CH3+CH2O--&gt;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</si>
  <si>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</si>
  <si>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</si>
  <si>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well_1=&gt;OH+prod_1--&gt;</t>
    </r>
    <r>
      <rPr>
        <sz val="13"/>
        <color rgb="FFFF0000"/>
        <rFont val="Calibri Light"/>
        <family val="2"/>
        <scheme val="major"/>
      </rPr>
      <t>[prod_1]</t>
    </r>
    <r>
      <rPr>
        <sz val="13"/>
        <color theme="3"/>
        <rFont val="Calibri Light"/>
        <family val="2"/>
        <scheme val="major"/>
      </rPr>
      <t>prod_1=&gt;frag_1+OH--&gt;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</si>
  <si>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CH3CH2OO+C3H8=&gt;CH3CH2OOH+ipropyl--&gt;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</si>
  <si>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</si>
  <si>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</si>
  <si>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</si>
  <si>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  <r>
      <rPr>
        <sz val="13"/>
        <color theme="3"/>
        <rFont val="Calibri Light"/>
        <family val="2"/>
        <scheme val="major"/>
      </rPr>
      <t>allyloxy=&gt;C2H3+CH2O--&gt;</t>
    </r>
    <r>
      <rPr>
        <sz val="13"/>
        <color rgb="FFFF0000"/>
        <rFont val="Calibri Light"/>
        <family val="2"/>
        <scheme val="major"/>
      </rPr>
      <t>[C2H3]</t>
    </r>
    <r>
      <rPr>
        <sz val="13"/>
        <color theme="3"/>
        <rFont val="Calibri Light"/>
        <family val="2"/>
        <scheme val="major"/>
      </rPr>
      <t>C2H3+O2=&gt;O+vinoxy--&gt;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</si>
  <si>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O2+npropyl=&gt;QOOH_2--&gt;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</si>
  <si>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</si>
  <si>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</si>
  <si>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O2+QOOH_1=&gt;OH+OH+frag_1--&gt;</t>
    </r>
    <r>
      <rPr>
        <sz val="13"/>
        <color rgb="FFFF0000"/>
        <rFont val="Calibri Light"/>
        <family val="2"/>
        <scheme val="major"/>
      </rPr>
      <t>[frag_1]</t>
    </r>
    <r>
      <rPr>
        <sz val="13"/>
        <color theme="3"/>
        <rFont val="Calibri Light"/>
        <family val="2"/>
        <scheme val="major"/>
      </rPr>
      <t>frag_1=&gt;vinoxy+CH2O--&gt;</t>
    </r>
    <r>
      <rPr>
        <sz val="13"/>
        <color rgb="FFFF0000"/>
        <rFont val="Calibri Light"/>
        <family val="2"/>
        <scheme val="major"/>
      </rPr>
      <t>[vinoxy]</t>
    </r>
    <r>
      <rPr>
        <sz val="13"/>
        <color theme="3"/>
        <rFont val="Calibri Light"/>
        <family val="2"/>
        <scheme val="major"/>
      </rPr>
      <t>vinoxy+O2=&gt;CH2O+CO+OH--&gt;</t>
    </r>
    <r>
      <rPr>
        <sz val="13"/>
        <color rgb="FFFF0000"/>
        <rFont val="Calibri Light"/>
        <family val="2"/>
        <scheme val="major"/>
      </rPr>
      <t>[CH2O]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</si>
  <si>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well_2=&gt;HO2+prod_2--&gt;</t>
    </r>
    <r>
      <rPr>
        <sz val="13"/>
        <color rgb="FFFF0000"/>
        <rFont val="Calibri Light"/>
        <family val="2"/>
        <scheme val="major"/>
      </rPr>
      <t>[prod_2]</t>
    </r>
    <r>
      <rPr>
        <sz val="13"/>
        <color theme="3"/>
        <rFont val="Calibri Light"/>
        <family val="2"/>
        <scheme val="major"/>
      </rPr>
      <t>prod_2=&gt;allyloxy+OH--&gt;</t>
    </r>
    <r>
      <rPr>
        <sz val="13"/>
        <color rgb="FFFF0000"/>
        <rFont val="Calibri Light"/>
        <family val="2"/>
        <scheme val="major"/>
      </rPr>
      <t>[allyloxy]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</si>
  <si>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  <r>
      <rPr>
        <sz val="13"/>
        <color theme="3"/>
        <rFont val="Calibri Light"/>
        <family val="2"/>
        <scheme val="major"/>
      </rPr>
      <t>prod_4=&gt;frag_4+OH--&gt;</t>
    </r>
    <r>
      <rPr>
        <sz val="13"/>
        <color rgb="FFFF0000"/>
        <rFont val="Calibri Light"/>
        <family val="2"/>
        <scheme val="major"/>
      </rPr>
      <t>[frag_4]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</si>
  <si>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well_3=&gt;OH+prod_4--&gt;</t>
    </r>
    <r>
      <rPr>
        <sz val="13"/>
        <color rgb="FFFF0000"/>
        <rFont val="Calibri Light"/>
        <family val="2"/>
        <scheme val="major"/>
      </rPr>
      <t>[prod_4]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</si>
  <si>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well_3=&gt;well_2--&gt;</t>
    </r>
    <r>
      <rPr>
        <sz val="13"/>
        <color rgb="FFFF0000"/>
        <rFont val="Calibri Light"/>
        <family val="2"/>
        <scheme val="major"/>
      </rPr>
      <t>[well_2]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</si>
  <si>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</si>
  <si>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</si>
  <si>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</si>
  <si>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</si>
  <si>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C2H5+O2=&gt;oxirane+OH--&gt;</t>
    </r>
    <r>
      <rPr>
        <sz val="13"/>
        <color rgb="FFFF0000"/>
        <rFont val="Calibri Light"/>
        <family val="2"/>
        <scheme val="major"/>
      </rPr>
      <t>[oxirane]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</si>
  <si>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</si>
  <si>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O2+QOOH_1=&gt;OH+prod_3--&gt;</t>
    </r>
    <r>
      <rPr>
        <sz val="13"/>
        <color rgb="FFFF0000"/>
        <rFont val="Calibri Light"/>
        <family val="2"/>
        <scheme val="major"/>
      </rPr>
      <t>[prod_3]</t>
    </r>
    <r>
      <rPr>
        <sz val="13"/>
        <color theme="3"/>
        <rFont val="Calibri Light"/>
        <family val="2"/>
        <scheme val="major"/>
      </rPr>
      <t>prod_3=&gt;frag_3+OH--&gt;</t>
    </r>
    <r>
      <rPr>
        <sz val="13"/>
        <color rgb="FFFF0000"/>
        <rFont val="Calibri Light"/>
        <family val="2"/>
        <scheme val="major"/>
      </rPr>
      <t>[frag_3]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</si>
  <si>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</si>
  <si>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ipropyloo+C3H8=&gt;ipropylooh+ipropyl--&gt;</t>
    </r>
    <r>
      <rPr>
        <sz val="13"/>
        <color rgb="FFFF0000"/>
        <rFont val="Calibri Light"/>
        <family val="2"/>
        <scheme val="major"/>
      </rPr>
      <t>[ipropylooh]</t>
    </r>
    <r>
      <rPr>
        <sz val="13"/>
        <color theme="3"/>
        <rFont val="Calibri Light"/>
        <family val="2"/>
        <scheme val="major"/>
      </rPr>
      <t>ipropylooh=&gt;ipropyloxy+OH--&gt;</t>
    </r>
    <r>
      <rPr>
        <sz val="13"/>
        <color rgb="FFFF0000"/>
        <rFont val="Calibri Light"/>
        <family val="2"/>
        <scheme val="major"/>
      </rPr>
      <t>[ipropyloxy]</t>
    </r>
    <r>
      <rPr>
        <sz val="13"/>
        <color theme="3"/>
        <rFont val="Calibri Light"/>
        <family val="2"/>
        <scheme val="major"/>
      </rPr>
      <t>ipropyloxy=&gt;CH3+acetaldehyde--&gt;</t>
    </r>
    <r>
      <rPr>
        <sz val="13"/>
        <color rgb="FFFF0000"/>
        <rFont val="Calibri Light"/>
        <family val="2"/>
        <scheme val="major"/>
      </rPr>
      <t>[CH3]</t>
    </r>
    <r>
      <rPr>
        <sz val="13"/>
        <color theme="3"/>
        <rFont val="Calibri Light"/>
        <family val="2"/>
        <scheme val="major"/>
      </rPr>
      <t>CH3OO+C3H8=&gt;CH3OOH+ipropyl--&gt;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</si>
  <si>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well_3=&gt;HO2+prod_7--&gt;</t>
    </r>
    <r>
      <rPr>
        <sz val="13"/>
        <color rgb="FFFF0000"/>
        <rFont val="Calibri Light"/>
        <family val="2"/>
        <scheme val="major"/>
      </rPr>
      <t>[prod_7]</t>
    </r>
    <r>
      <rPr>
        <sz val="13"/>
        <color theme="3"/>
        <rFont val="Calibri Light"/>
        <family val="2"/>
        <scheme val="major"/>
      </rPr>
      <t>prod_7=&gt;propen2oxy+OH--&gt;</t>
    </r>
    <r>
      <rPr>
        <sz val="13"/>
        <color rgb="FFFF0000"/>
        <rFont val="Calibri Light"/>
        <family val="2"/>
        <scheme val="major"/>
      </rPr>
      <t>[propen2oxy]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</si>
  <si>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QOOH_1=&gt;QOOH_2--&gt;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QOOH_2=&gt;OH+propoxide--&gt;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</si>
  <si>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npropyloo+C3H8=&gt;npropylooh+npropyl--&gt;</t>
    </r>
    <r>
      <rPr>
        <sz val="13"/>
        <color rgb="FFFF0000"/>
        <rFont val="Calibri Light"/>
        <family val="2"/>
        <scheme val="major"/>
      </rPr>
      <t>[npropylooh]</t>
    </r>
    <r>
      <rPr>
        <sz val="13"/>
        <color theme="3"/>
        <rFont val="Calibri Light"/>
        <family val="2"/>
        <scheme val="major"/>
      </rPr>
      <t>npropylooh=&gt;npropyloxy+OH--&gt;</t>
    </r>
    <r>
      <rPr>
        <sz val="13"/>
        <color rgb="FFFF0000"/>
        <rFont val="Calibri Light"/>
        <family val="2"/>
        <scheme val="major"/>
      </rPr>
      <t>[npropyloxy]</t>
    </r>
    <r>
      <rPr>
        <sz val="13"/>
        <color theme="3"/>
        <rFont val="Calibri Light"/>
        <family val="2"/>
        <scheme val="major"/>
      </rPr>
      <t>npropyloxy=&gt;C2H5+CH2O--&gt;</t>
    </r>
    <r>
      <rPr>
        <sz val="13"/>
        <color rgb="FFFF0000"/>
        <rFont val="Calibri Light"/>
        <family val="2"/>
        <scheme val="major"/>
      </rPr>
      <t>[C2H5]</t>
    </r>
    <r>
      <rPr>
        <sz val="13"/>
        <color theme="3"/>
        <rFont val="Calibri Light"/>
        <family val="2"/>
        <scheme val="major"/>
      </rPr>
      <t>C2H5+O2=&gt;oxirane+OH--&gt;</t>
    </r>
    <r>
      <rPr>
        <sz val="13"/>
        <color rgb="FFFF0000"/>
        <rFont val="Calibri Light"/>
        <family val="2"/>
        <scheme val="major"/>
      </rPr>
      <t>[oxirane]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</si>
  <si>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well_2=&gt;OH+prod_5--&gt;</t>
    </r>
    <r>
      <rPr>
        <sz val="13"/>
        <color rgb="FFFF0000"/>
        <rFont val="Calibri Light"/>
        <family val="2"/>
        <scheme val="major"/>
      </rPr>
      <t>[prod_5]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</si>
  <si>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well_2=&gt;OH+prod_5--&gt;</t>
    </r>
    <r>
      <rPr>
        <sz val="13"/>
        <color rgb="FFFF0000"/>
        <rFont val="Calibri Light"/>
        <family val="2"/>
        <scheme val="major"/>
      </rPr>
      <t>[prod_5]</t>
    </r>
    <r>
      <rPr>
        <sz val="13"/>
        <color theme="3"/>
        <rFont val="Calibri Light"/>
        <family val="2"/>
        <scheme val="major"/>
      </rPr>
      <t>prod_5=&gt;frag_5+OH--&gt;</t>
    </r>
    <r>
      <rPr>
        <sz val="13"/>
        <color rgb="FFFF0000"/>
        <rFont val="Calibri Light"/>
        <family val="2"/>
        <scheme val="major"/>
      </rPr>
      <t>[frag_5]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</si>
  <si>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npropyloo+C3H8=&gt;npropylooh+ipropyl--&gt;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O2+ipropyl=&gt;OH+propoxide--&gt;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</si>
  <si>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ipropyloo=&gt;QOOH_3--&gt;</t>
    </r>
    <r>
      <rPr>
        <sz val="13"/>
        <color rgb="FFFF0000"/>
        <rFont val="Calibri Light"/>
        <family val="2"/>
        <scheme val="major"/>
      </rPr>
      <t>[QOOH_3]</t>
    </r>
    <r>
      <rPr>
        <sz val="13"/>
        <color theme="3"/>
        <rFont val="Calibri Light"/>
        <family val="2"/>
        <scheme val="major"/>
      </rPr>
      <t>well_3=&gt;well_5--&gt;</t>
    </r>
    <r>
      <rPr>
        <sz val="13"/>
        <color rgb="FFFF0000"/>
        <rFont val="Calibri Light"/>
        <family val="2"/>
        <scheme val="major"/>
      </rPr>
      <t>[well_5]</t>
    </r>
    <r>
      <rPr>
        <sz val="13"/>
        <color theme="3"/>
        <rFont val="Calibri Light"/>
        <family val="2"/>
        <scheme val="major"/>
      </rPr>
      <t>well_5=&gt;well_3--&gt;</t>
    </r>
    <r>
      <rPr>
        <sz val="13"/>
        <color rgb="FFFF0000"/>
        <rFont val="Calibri Light"/>
        <family val="2"/>
        <scheme val="major"/>
      </rPr>
      <t>[well_3]</t>
    </r>
    <r>
      <rPr>
        <sz val="13"/>
        <color theme="3"/>
        <rFont val="Calibri Light"/>
        <family val="2"/>
        <scheme val="major"/>
      </rPr>
      <t>QOOH_3=&gt;OH+propoxide--&gt;</t>
    </r>
    <r>
      <rPr>
        <sz val="13"/>
        <color rgb="FFFF0000"/>
        <rFont val="Calibri Light"/>
        <family val="2"/>
        <scheme val="major"/>
      </rPr>
      <t>[propoxide]</t>
    </r>
  </si>
  <si>
    <r>
      <t>[OH]</t>
    </r>
    <r>
      <rPr>
        <sz val="13"/>
        <color theme="3"/>
        <rFont val="Calibri Light"/>
        <family val="2"/>
        <scheme val="major"/>
      </rPr>
      <t>C3H8+OH=&gt;ipropyl+H2O--&gt;</t>
    </r>
    <r>
      <rPr>
        <sz val="13"/>
        <color rgb="FFFF0000"/>
        <rFont val="Calibri Light"/>
        <family val="2"/>
        <scheme val="major"/>
      </rPr>
      <t>[ipropyl]</t>
    </r>
    <r>
      <rPr>
        <sz val="13"/>
        <color theme="3"/>
        <rFont val="Calibri Light"/>
        <family val="2"/>
        <scheme val="major"/>
      </rPr>
      <t>ipropyloo+C3H8=&gt;ipropylooh+npropyl--&gt;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well_1=&gt;OH+prod_3--&gt;</t>
    </r>
    <r>
      <rPr>
        <sz val="13"/>
        <color rgb="FFFF0000"/>
        <rFont val="Calibri Light"/>
        <family val="2"/>
        <scheme val="major"/>
      </rPr>
      <t>[prod_3]</t>
    </r>
  </si>
  <si>
    <r>
      <t>[OH]</t>
    </r>
    <r>
      <rPr>
        <sz val="13"/>
        <color theme="3"/>
        <rFont val="Calibri Light"/>
        <family val="2"/>
        <scheme val="major"/>
      </rPr>
      <t>C3H8+OH=&gt;npropyl+H2O--&gt;</t>
    </r>
    <r>
      <rPr>
        <sz val="13"/>
        <color rgb="FFFF0000"/>
        <rFont val="Calibri Light"/>
        <family val="2"/>
        <scheme val="major"/>
      </rPr>
      <t>[npropyl]</t>
    </r>
    <r>
      <rPr>
        <sz val="13"/>
        <color theme="3"/>
        <rFont val="Calibri Light"/>
        <family val="2"/>
        <scheme val="major"/>
      </rPr>
      <t>npropyloo=&gt;QOOH_2--&gt;</t>
    </r>
    <r>
      <rPr>
        <sz val="13"/>
        <color rgb="FFFF0000"/>
        <rFont val="Calibri Light"/>
        <family val="2"/>
        <scheme val="major"/>
      </rPr>
      <t>[QOOH_2]</t>
    </r>
    <r>
      <rPr>
        <sz val="13"/>
        <color theme="3"/>
        <rFont val="Calibri Light"/>
        <family val="2"/>
        <scheme val="major"/>
      </rPr>
      <t>well_2=&gt;HO2+prod_6--&gt;</t>
    </r>
    <r>
      <rPr>
        <sz val="13"/>
        <color rgb="FFFF0000"/>
        <rFont val="Calibri Light"/>
        <family val="2"/>
        <scheme val="major"/>
      </rPr>
      <t>[prod_6]</t>
    </r>
    <r>
      <rPr>
        <sz val="13"/>
        <color theme="3"/>
        <rFont val="Calibri Light"/>
        <family val="2"/>
        <scheme val="major"/>
      </rPr>
      <t>prod_6=&gt;propen1oxy+OH--&gt;</t>
    </r>
    <r>
      <rPr>
        <sz val="13"/>
        <color rgb="FFFF0000"/>
        <rFont val="Calibri Light"/>
        <family val="2"/>
        <scheme val="major"/>
      </rPr>
      <t>[propen1oxy]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</si>
</sst>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/>
      <name val="Calibri Light"/>
      <family val="2"/>
      <scheme val="major"/>
    </font>
    <font>
      <sz val="13"/>
      <color theme="3"/>
      <name val="Calibri Light"/>
      <family val="2"/>
      <scheme val="major"/>
    </font>
    <font>
      <sz val="13"/>
      <color rgb="FFFF0000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 wrapText="1"/>
    </xf>
    <xf numFmtId="0" fontId="3" fillId="0" borderId="2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wrapText="1"/>
    </xf>
    <xf numFmtId="0" fontId="4" fillId="0" borderId="1" xfId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5" fillId="0" borderId="2" xfId="1" applyFont="1" applyBorder="1" applyAlignment="1">
      <alignment horizontal="left" wrapText="1"/>
    </xf>
    <xf numFmtId="0" fontId="4" fillId="0" borderId="2" xfId="1" applyFont="1" applyBorder="1" applyAlignment="1">
      <alignment horizontal="left"/>
    </xf>
    <xf numFmtId="11" fontId="3" fillId="0" borderId="2" xfId="1" applyNumberFormat="1" applyFont="1" applyBorder="1" applyAlignment="1">
      <alignment horizontal="center" vertical="center" wrapText="1"/>
    </xf>
    <xf numFmtId="11" fontId="3" fillId="2" borderId="2" xfId="1" applyNumberFormat="1" applyFont="1" applyFill="1" applyBorder="1" applyAlignment="1">
      <alignment horizontal="center" vertical="center" wrapText="1"/>
    </xf>
    <xf numFmtId="11" fontId="4" fillId="0" borderId="2" xfId="1" applyNumberFormat="1" applyFont="1" applyBorder="1" applyAlignment="1">
      <alignment horizontal="left" wrapText="1"/>
    </xf>
    <xf numFmtId="11" fontId="4" fillId="2" borderId="2" xfId="1" applyNumberFormat="1" applyFont="1" applyFill="1" applyBorder="1" applyAlignment="1">
      <alignment horizontal="left" wrapText="1"/>
    </xf>
    <xf numFmtId="11" fontId="4" fillId="0" borderId="2" xfId="1" applyNumberFormat="1" applyFont="1" applyBorder="1" applyAlignment="1">
      <alignment horizontal="left"/>
    </xf>
    <xf numFmtId="11" fontId="4" fillId="2" borderId="2" xfId="1" applyNumberFormat="1" applyFont="1" applyFill="1" applyBorder="1" applyAlignment="1">
      <alignment horizontal="left"/>
    </xf>
    <xf numFmtId="0" fontId="3" fillId="0" borderId="2" xfId="1" applyNumberFormat="1" applyFont="1" applyBorder="1" applyAlignment="1">
      <alignment horizontal="center" vertical="center" wrapText="1"/>
    </xf>
    <xf numFmtId="0" fontId="4" fillId="0" borderId="2" xfId="1" applyNumberFormat="1" applyFont="1" applyBorder="1" applyAlignment="1">
      <alignment horizontal="left" wrapText="1"/>
    </xf>
    <xf numFmtId="0" fontId="4" fillId="0" borderId="2" xfId="1" applyNumberFormat="1" applyFont="1" applyBorder="1" applyAlignment="1">
      <alignment horizontal="left"/>
    </xf>
    <xf numFmtId="0" fontId="4" fillId="0" borderId="2" xfId="1" applyFont="1" applyBorder="1" applyAlignment="1">
      <alignment horizontal="center" vertical="center" wrapText="1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1"/>
  <sheetViews>
    <sheetView tabSelected="1" workbookViewId="0">
      <selection activeCell="A2" sqref="A2:A101"/>
    </sheetView>
  </sheetViews>
  <sheetFormatPr defaultColWidth="36.7109375" defaultRowHeight="18.75" thickTop="1" thickBottom="1" x14ac:dyDescent="0.35"/>
  <cols>
    <col min="1" max="1" width="5.5703125" style="4" customWidth="1"/>
    <col min="2" max="2" width="48.85546875" style="7" customWidth="1"/>
    <col min="3" max="3" width="9.85546875" style="12" customWidth="1"/>
    <col min="4" max="4" width="4.5703125" style="16" customWidth="1"/>
    <col min="5" max="5" width="10.7109375" style="12" customWidth="1"/>
    <col min="6" max="6" width="10.7109375" style="13" customWidth="1"/>
    <col min="7" max="16384" width="36.7109375" style="1"/>
  </cols>
  <sheetData>
    <row r="1" spans="1:6" s="5" customFormat="1" ht="45.75" thickBot="1" x14ac:dyDescent="0.3">
      <c r="A1" s="2"/>
      <c r="B1" s="17" t="s">
        <v>0</v>
      </c>
      <c r="C1" s="8" t="s">
        <v>1</v>
      </c>
      <c r="D1" s="14" t="s">
        <v>2</v>
      </c>
      <c r="E1" s="8" t="s">
        <v>3</v>
      </c>
      <c r="F1" s="9" t="s">
        <v>4</v>
      </c>
    </row>
    <row r="2" spans="1:6" ht="87" thickBot="1" x14ac:dyDescent="0.35">
      <c r="A2" s="3">
        <v>1</v>
      </c>
      <c r="B2" s="6" t="s">
        <v>38</v>
      </c>
      <c r="C2" s="10">
        <v>0.37766321209999998</v>
      </c>
      <c r="D2" s="15">
        <v>1</v>
      </c>
      <c r="E2" s="10">
        <f>C2*D2</f>
        <v>0.37766321209999998</v>
      </c>
      <c r="F2" s="11">
        <f>SUM($E$2:E2)</f>
        <v>0.37766321209999998</v>
      </c>
    </row>
    <row r="3" spans="1:6" ht="52.5" thickBot="1" x14ac:dyDescent="0.35">
      <c r="A3" s="3">
        <v>2</v>
      </c>
      <c r="B3" s="6" t="s">
        <v>6</v>
      </c>
      <c r="C3" s="10">
        <v>0.37758660109999997</v>
      </c>
      <c r="D3" s="15">
        <v>1</v>
      </c>
      <c r="E3" s="10">
        <f>C3*D3</f>
        <v>0.37758660109999997</v>
      </c>
      <c r="F3" s="11">
        <f>SUM($E$2:E3)</f>
        <v>0.75524981319999995</v>
      </c>
    </row>
    <row r="4" spans="1:6" ht="35.25" thickBot="1" x14ac:dyDescent="0.35">
      <c r="A4" s="3">
        <v>3</v>
      </c>
      <c r="B4" s="6" t="s">
        <v>5</v>
      </c>
      <c r="C4" s="10">
        <v>0.3775612431</v>
      </c>
      <c r="D4" s="15">
        <v>1</v>
      </c>
      <c r="E4" s="10">
        <f>C4*D4</f>
        <v>0.3775612431</v>
      </c>
      <c r="F4" s="11">
        <f>SUM($E$2:E4)</f>
        <v>1.1328110563</v>
      </c>
    </row>
    <row r="5" spans="1:6" ht="69.75" thickBot="1" x14ac:dyDescent="0.35">
      <c r="A5" s="3">
        <v>4</v>
      </c>
      <c r="B5" s="6" t="s">
        <v>7</v>
      </c>
      <c r="C5" s="10">
        <v>2.0717223310000001E-2</v>
      </c>
      <c r="D5" s="15">
        <v>1</v>
      </c>
      <c r="E5" s="10">
        <f>C5*D5</f>
        <v>2.0717223310000001E-2</v>
      </c>
      <c r="F5" s="11">
        <f>SUM($E$2:E5)</f>
        <v>1.1535282796099999</v>
      </c>
    </row>
    <row r="6" spans="1:6" ht="87" thickBot="1" x14ac:dyDescent="0.35">
      <c r="A6" s="3">
        <v>5</v>
      </c>
      <c r="B6" s="6" t="s">
        <v>8</v>
      </c>
      <c r="C6" s="10">
        <v>1.7963676259999999E-2</v>
      </c>
      <c r="D6" s="15">
        <v>1</v>
      </c>
      <c r="E6" s="10">
        <f>C6*D6</f>
        <v>1.7963676259999999E-2</v>
      </c>
      <c r="F6" s="11">
        <f>SUM($E$2:E6)</f>
        <v>1.1714919558699999</v>
      </c>
    </row>
    <row r="7" spans="1:6" ht="69.75" thickBot="1" x14ac:dyDescent="0.35">
      <c r="A7" s="3">
        <v>6</v>
      </c>
      <c r="B7" s="6" t="s">
        <v>9</v>
      </c>
      <c r="C7" s="10">
        <v>1.208801222E-2</v>
      </c>
      <c r="D7" s="15">
        <v>1</v>
      </c>
      <c r="E7" s="10">
        <f>C7*D7</f>
        <v>1.208801222E-2</v>
      </c>
      <c r="F7" s="11">
        <f>SUM($E$2:E7)</f>
        <v>1.1835799680899999</v>
      </c>
    </row>
    <row r="8" spans="1:6" ht="87" thickBot="1" x14ac:dyDescent="0.35">
      <c r="A8" s="3">
        <v>7</v>
      </c>
      <c r="B8" s="6" t="s">
        <v>11</v>
      </c>
      <c r="C8" s="10">
        <v>1.0474278890000001E-2</v>
      </c>
      <c r="D8" s="15">
        <v>1</v>
      </c>
      <c r="E8" s="10">
        <f>C8*D8</f>
        <v>1.0474278890000001E-2</v>
      </c>
      <c r="F8" s="11">
        <f>SUM($E$2:E8)</f>
        <v>1.19405424698</v>
      </c>
    </row>
    <row r="9" spans="1:6" ht="52.5" thickBot="1" x14ac:dyDescent="0.35">
      <c r="A9" s="3">
        <v>8</v>
      </c>
      <c r="B9" s="6" t="s">
        <v>12</v>
      </c>
      <c r="C9" s="10">
        <v>9.2738877570000006E-3</v>
      </c>
      <c r="D9" s="15">
        <v>1</v>
      </c>
      <c r="E9" s="10">
        <f>C9*D9</f>
        <v>9.2738877570000006E-3</v>
      </c>
      <c r="F9" s="11">
        <f>SUM($E$2:E9)</f>
        <v>1.203328134737</v>
      </c>
    </row>
    <row r="10" spans="1:6" ht="52.5" thickBot="1" x14ac:dyDescent="0.35">
      <c r="A10" s="3">
        <v>9</v>
      </c>
      <c r="B10" s="6" t="s">
        <v>15</v>
      </c>
      <c r="C10" s="10">
        <v>9.1978090529999997E-3</v>
      </c>
      <c r="D10" s="15">
        <v>1</v>
      </c>
      <c r="E10" s="10">
        <f>C10*D10</f>
        <v>9.1978090529999997E-3</v>
      </c>
      <c r="F10" s="11">
        <f>SUM($E$2:E10)</f>
        <v>1.21252594379</v>
      </c>
    </row>
    <row r="11" spans="1:6" ht="104.25" thickBot="1" x14ac:dyDescent="0.35">
      <c r="A11" s="3">
        <v>10</v>
      </c>
      <c r="B11" s="6" t="s">
        <v>13</v>
      </c>
      <c r="C11" s="10">
        <v>9.1976446659999996E-3</v>
      </c>
      <c r="D11" s="15">
        <v>1</v>
      </c>
      <c r="E11" s="10">
        <f>C11*D11</f>
        <v>9.1976446659999996E-3</v>
      </c>
      <c r="F11" s="11">
        <f>SUM($E$2:E11)</f>
        <v>1.221723588456</v>
      </c>
    </row>
    <row r="12" spans="1:6" ht="69.75" thickBot="1" x14ac:dyDescent="0.35">
      <c r="A12" s="3">
        <v>11</v>
      </c>
      <c r="B12" s="6" t="s">
        <v>14</v>
      </c>
      <c r="C12" s="10">
        <v>9.1973734599999999E-3</v>
      </c>
      <c r="D12" s="15">
        <v>1</v>
      </c>
      <c r="E12" s="10">
        <f>C12*D12</f>
        <v>9.1973734599999999E-3</v>
      </c>
      <c r="F12" s="11">
        <f>SUM($E$2:E12)</f>
        <v>1.230920961916</v>
      </c>
    </row>
    <row r="13" spans="1:6" ht="104.25" thickBot="1" x14ac:dyDescent="0.35">
      <c r="A13" s="3">
        <v>12</v>
      </c>
      <c r="B13" s="6" t="s">
        <v>10</v>
      </c>
      <c r="C13" s="10">
        <v>6.8961600149999996E-3</v>
      </c>
      <c r="D13" s="15">
        <v>1</v>
      </c>
      <c r="E13" s="10">
        <f>C13*D13</f>
        <v>6.8961600149999996E-3</v>
      </c>
      <c r="F13" s="11">
        <f>SUM($E$2:E13)</f>
        <v>1.2378171219309999</v>
      </c>
    </row>
    <row r="14" spans="1:6" ht="52.5" thickBot="1" x14ac:dyDescent="0.35">
      <c r="A14" s="3">
        <v>13</v>
      </c>
      <c r="B14" s="6" t="s">
        <v>17</v>
      </c>
      <c r="C14" s="10">
        <v>4.5264781470000003E-3</v>
      </c>
      <c r="D14" s="15">
        <v>1</v>
      </c>
      <c r="E14" s="10">
        <f>C14*D14</f>
        <v>4.5264781470000003E-3</v>
      </c>
      <c r="F14" s="11">
        <f>SUM($E$2:E14)</f>
        <v>1.2423436000779999</v>
      </c>
    </row>
    <row r="15" spans="1:6" ht="104.25" thickBot="1" x14ac:dyDescent="0.35">
      <c r="A15" s="3">
        <v>14</v>
      </c>
      <c r="B15" s="6" t="s">
        <v>16</v>
      </c>
      <c r="C15" s="10">
        <v>4.0239439670000004E-3</v>
      </c>
      <c r="D15" s="15">
        <v>1</v>
      </c>
      <c r="E15" s="10">
        <f>C15*D15</f>
        <v>4.0239439670000004E-3</v>
      </c>
      <c r="F15" s="11">
        <f>SUM($E$2:E15)</f>
        <v>1.2463675440449999</v>
      </c>
    </row>
    <row r="16" spans="1:6" ht="104.25" thickBot="1" x14ac:dyDescent="0.35">
      <c r="A16" s="3">
        <v>15</v>
      </c>
      <c r="B16" s="6" t="s">
        <v>18</v>
      </c>
      <c r="C16" s="10">
        <v>3.898621139E-3</v>
      </c>
      <c r="D16" s="15">
        <v>1</v>
      </c>
      <c r="E16" s="10">
        <f>C16*D16</f>
        <v>3.898621139E-3</v>
      </c>
      <c r="F16" s="11">
        <f>SUM($E$2:E16)</f>
        <v>1.2502661651839999</v>
      </c>
    </row>
    <row r="17" spans="1:6" ht="156" thickBot="1" x14ac:dyDescent="0.35">
      <c r="A17" s="3">
        <v>16</v>
      </c>
      <c r="B17" s="6" t="s">
        <v>20</v>
      </c>
      <c r="C17" s="10">
        <v>3.896462403E-3</v>
      </c>
      <c r="D17" s="15">
        <v>1</v>
      </c>
      <c r="E17" s="10">
        <f>C17*D17</f>
        <v>3.896462403E-3</v>
      </c>
      <c r="F17" s="11">
        <f>SUM($E$2:E17)</f>
        <v>1.2541626275869999</v>
      </c>
    </row>
    <row r="18" spans="1:6" ht="121.5" thickBot="1" x14ac:dyDescent="0.35">
      <c r="A18" s="3">
        <v>17</v>
      </c>
      <c r="B18" s="6" t="s">
        <v>19</v>
      </c>
      <c r="C18" s="10">
        <v>3.8956180750000001E-3</v>
      </c>
      <c r="D18" s="15">
        <v>1</v>
      </c>
      <c r="E18" s="10">
        <f>C18*D18</f>
        <v>3.8956180750000001E-3</v>
      </c>
      <c r="F18" s="11">
        <f>SUM($E$2:E18)</f>
        <v>1.258058245662</v>
      </c>
    </row>
    <row r="19" spans="1:6" ht="69.75" thickBot="1" x14ac:dyDescent="0.35">
      <c r="A19" s="3">
        <v>18</v>
      </c>
      <c r="B19" s="6" t="s">
        <v>23</v>
      </c>
      <c r="C19" s="10">
        <v>3.1775706269999999E-3</v>
      </c>
      <c r="D19" s="15">
        <v>1</v>
      </c>
      <c r="E19" s="10">
        <f>C19*D19</f>
        <v>3.1775706269999999E-3</v>
      </c>
      <c r="F19" s="11">
        <f>SUM($E$2:E19)</f>
        <v>1.2612358162890001</v>
      </c>
    </row>
    <row r="20" spans="1:6" ht="52.5" thickBot="1" x14ac:dyDescent="0.35">
      <c r="A20" s="3">
        <v>19</v>
      </c>
      <c r="B20" s="6" t="s">
        <v>25</v>
      </c>
      <c r="C20" s="10">
        <v>2.9246271189999999E-3</v>
      </c>
      <c r="D20" s="15">
        <v>1</v>
      </c>
      <c r="E20" s="10">
        <f>C20*D20</f>
        <v>2.9246271189999999E-3</v>
      </c>
      <c r="F20" s="11">
        <f>SUM($E$2:E20)</f>
        <v>1.264160443408</v>
      </c>
    </row>
    <row r="21" spans="1:6" ht="69.75" thickBot="1" x14ac:dyDescent="0.35">
      <c r="A21" s="3">
        <v>20</v>
      </c>
      <c r="B21" s="6" t="s">
        <v>24</v>
      </c>
      <c r="C21" s="10">
        <v>2.924475897E-3</v>
      </c>
      <c r="D21" s="15">
        <v>1</v>
      </c>
      <c r="E21" s="10">
        <f>C21*D21</f>
        <v>2.924475897E-3</v>
      </c>
      <c r="F21" s="11">
        <f>SUM($E$2:E21)</f>
        <v>1.267084919305</v>
      </c>
    </row>
    <row r="22" spans="1:6" ht="156" thickBot="1" x14ac:dyDescent="0.35">
      <c r="A22" s="3">
        <v>21</v>
      </c>
      <c r="B22" s="6" t="s">
        <v>22</v>
      </c>
      <c r="C22" s="10">
        <v>2.373486046E-3</v>
      </c>
      <c r="D22" s="15">
        <v>1</v>
      </c>
      <c r="E22" s="10">
        <f>C22*D22</f>
        <v>2.373486046E-3</v>
      </c>
      <c r="F22" s="11">
        <f>SUM($E$2:E22)</f>
        <v>1.2694584053510001</v>
      </c>
    </row>
    <row r="23" spans="1:6" ht="104.25" thickBot="1" x14ac:dyDescent="0.35">
      <c r="A23" s="3">
        <v>22</v>
      </c>
      <c r="B23" s="6" t="s">
        <v>21</v>
      </c>
      <c r="C23" s="10">
        <v>2.3036960910000001E-3</v>
      </c>
      <c r="D23" s="15">
        <v>1</v>
      </c>
      <c r="E23" s="10">
        <f>C23*D23</f>
        <v>2.3036960910000001E-3</v>
      </c>
      <c r="F23" s="11">
        <f>SUM($E$2:E23)</f>
        <v>1.271762101442</v>
      </c>
    </row>
    <row r="24" spans="1:6" ht="104.25" thickBot="1" x14ac:dyDescent="0.35">
      <c r="A24" s="3">
        <v>23</v>
      </c>
      <c r="B24" s="6" t="s">
        <v>39</v>
      </c>
      <c r="C24" s="10">
        <v>2.2748910829999999E-3</v>
      </c>
      <c r="D24" s="15">
        <v>1</v>
      </c>
      <c r="E24" s="10">
        <f>C24*D24</f>
        <v>2.2748910829999999E-3</v>
      </c>
      <c r="F24" s="11">
        <f>SUM($E$2:E24)</f>
        <v>1.2740369925249999</v>
      </c>
    </row>
    <row r="25" spans="1:6" ht="121.5" thickBot="1" x14ac:dyDescent="0.35">
      <c r="A25" s="3">
        <v>24</v>
      </c>
      <c r="B25" s="6" t="s">
        <v>40</v>
      </c>
      <c r="C25" s="10">
        <v>2.2733824639999999E-3</v>
      </c>
      <c r="D25" s="15">
        <v>1</v>
      </c>
      <c r="E25" s="10">
        <f>C25*D25</f>
        <v>2.2733824639999999E-3</v>
      </c>
      <c r="F25" s="11">
        <f>SUM($E$2:E25)</f>
        <v>1.2763103749889999</v>
      </c>
    </row>
    <row r="26" spans="1:6" ht="156" thickBot="1" x14ac:dyDescent="0.35">
      <c r="A26" s="3">
        <v>25</v>
      </c>
      <c r="B26" s="6" t="s">
        <v>41</v>
      </c>
      <c r="C26" s="10">
        <v>2.2729227490000002E-3</v>
      </c>
      <c r="D26" s="15">
        <v>1</v>
      </c>
      <c r="E26" s="10">
        <f>C26*D26</f>
        <v>2.2729227490000002E-3</v>
      </c>
      <c r="F26" s="11">
        <f>SUM($E$2:E26)</f>
        <v>1.2785832977379998</v>
      </c>
    </row>
    <row r="27" spans="1:6" ht="156" thickBot="1" x14ac:dyDescent="0.35">
      <c r="A27" s="3">
        <v>26</v>
      </c>
      <c r="B27" s="6" t="s">
        <v>26</v>
      </c>
      <c r="C27" s="10">
        <v>1.3852142170000001E-3</v>
      </c>
      <c r="D27" s="15">
        <v>1</v>
      </c>
      <c r="E27" s="10">
        <f>C27*D27</f>
        <v>1.3852142170000001E-3</v>
      </c>
      <c r="F27" s="11">
        <f>SUM($E$2:E27)</f>
        <v>1.2799685119549999</v>
      </c>
    </row>
    <row r="28" spans="1:6" ht="104.25" thickBot="1" x14ac:dyDescent="0.35">
      <c r="A28" s="3">
        <v>27</v>
      </c>
      <c r="B28" s="6" t="s">
        <v>42</v>
      </c>
      <c r="C28" s="10">
        <v>1.342134876E-3</v>
      </c>
      <c r="D28" s="15">
        <v>1</v>
      </c>
      <c r="E28" s="10">
        <f>C28*D28</f>
        <v>1.342134876E-3</v>
      </c>
      <c r="F28" s="11">
        <f>SUM($E$2:E28)</f>
        <v>1.281310646831</v>
      </c>
    </row>
    <row r="29" spans="1:6" ht="173.25" thickBot="1" x14ac:dyDescent="0.35">
      <c r="A29" s="3">
        <v>28</v>
      </c>
      <c r="B29" s="6" t="s">
        <v>43</v>
      </c>
      <c r="C29" s="10">
        <v>1.2329014660000001E-3</v>
      </c>
      <c r="D29" s="15">
        <v>1</v>
      </c>
      <c r="E29" s="10">
        <f>C29*D29</f>
        <v>1.2329014660000001E-3</v>
      </c>
      <c r="F29" s="11">
        <f>SUM($E$2:E29)</f>
        <v>1.282543548297</v>
      </c>
    </row>
    <row r="30" spans="1:6" ht="138.75" thickBot="1" x14ac:dyDescent="0.35">
      <c r="A30" s="3">
        <v>29</v>
      </c>
      <c r="B30" s="6" t="s">
        <v>44</v>
      </c>
      <c r="C30" s="10">
        <v>1.232841535E-3</v>
      </c>
      <c r="D30" s="15">
        <v>1</v>
      </c>
      <c r="E30" s="10">
        <f>C30*D30</f>
        <v>1.232841535E-3</v>
      </c>
      <c r="F30" s="11">
        <f>SUM($E$2:E30)</f>
        <v>1.283776389832</v>
      </c>
    </row>
    <row r="31" spans="1:6" ht="138.75" thickBot="1" x14ac:dyDescent="0.35">
      <c r="A31" s="3">
        <v>30</v>
      </c>
      <c r="B31" s="6" t="s">
        <v>45</v>
      </c>
      <c r="C31" s="10">
        <v>1.232478914E-3</v>
      </c>
      <c r="D31" s="15">
        <v>1</v>
      </c>
      <c r="E31" s="10">
        <f>C31*D31</f>
        <v>1.232478914E-3</v>
      </c>
      <c r="F31" s="11">
        <f>SUM($E$2:E31)</f>
        <v>1.285008868746</v>
      </c>
    </row>
    <row r="32" spans="1:6" ht="69.75" thickBot="1" x14ac:dyDescent="0.35">
      <c r="A32" s="3">
        <v>31</v>
      </c>
      <c r="B32" s="6" t="s">
        <v>27</v>
      </c>
      <c r="C32" s="10">
        <v>1.0831723340000001E-3</v>
      </c>
      <c r="D32" s="15">
        <v>1</v>
      </c>
      <c r="E32" s="10">
        <f>C32*D32</f>
        <v>1.0831723340000001E-3</v>
      </c>
      <c r="F32" s="11">
        <f>SUM($E$2:E32)</f>
        <v>1.2860920410799999</v>
      </c>
    </row>
    <row r="33" spans="1:6" ht="52.5" thickBot="1" x14ac:dyDescent="0.35">
      <c r="A33" s="3">
        <v>32</v>
      </c>
      <c r="B33" s="6" t="s">
        <v>28</v>
      </c>
      <c r="C33" s="10">
        <v>9.4632692589999995E-4</v>
      </c>
      <c r="D33" s="15">
        <v>1</v>
      </c>
      <c r="E33" s="10">
        <f>C33*D33</f>
        <v>9.4632692589999995E-4</v>
      </c>
      <c r="F33" s="11">
        <f>SUM($E$2:E33)</f>
        <v>1.2870383680058999</v>
      </c>
    </row>
    <row r="34" spans="1:6" ht="156" thickBot="1" x14ac:dyDescent="0.35">
      <c r="A34" s="3">
        <v>33</v>
      </c>
      <c r="B34" s="6" t="s">
        <v>46</v>
      </c>
      <c r="C34" s="10">
        <v>7.9303985730000003E-4</v>
      </c>
      <c r="D34" s="15">
        <v>1</v>
      </c>
      <c r="E34" s="10">
        <f>C34*D34</f>
        <v>7.9303985730000003E-4</v>
      </c>
      <c r="F34" s="11">
        <f>SUM($E$2:E34)</f>
        <v>1.2878314078631998</v>
      </c>
    </row>
    <row r="35" spans="1:6" ht="104.25" thickBot="1" x14ac:dyDescent="0.35">
      <c r="A35" s="3">
        <v>34</v>
      </c>
      <c r="B35" s="6" t="s">
        <v>29</v>
      </c>
      <c r="C35" s="10">
        <v>7.5820164840000005E-4</v>
      </c>
      <c r="D35" s="15">
        <v>1</v>
      </c>
      <c r="E35" s="10">
        <f>C35*D35</f>
        <v>7.5820164840000005E-4</v>
      </c>
      <c r="F35" s="11">
        <f>SUM($E$2:E35)</f>
        <v>1.2885896095115998</v>
      </c>
    </row>
    <row r="36" spans="1:6" ht="138.75" thickBot="1" x14ac:dyDescent="0.35">
      <c r="A36" s="3">
        <v>35</v>
      </c>
      <c r="B36" s="6" t="s">
        <v>47</v>
      </c>
      <c r="C36" s="10">
        <v>7.1983586800000005E-4</v>
      </c>
      <c r="D36" s="15">
        <v>1</v>
      </c>
      <c r="E36" s="10">
        <f>C36*D36</f>
        <v>7.1983586800000005E-4</v>
      </c>
      <c r="F36" s="11">
        <f>SUM($E$2:E36)</f>
        <v>1.2893094453795999</v>
      </c>
    </row>
    <row r="37" spans="1:6" ht="138.75" thickBot="1" x14ac:dyDescent="0.35">
      <c r="A37" s="3">
        <v>36</v>
      </c>
      <c r="B37" s="6" t="s">
        <v>48</v>
      </c>
      <c r="C37" s="10">
        <v>7.1956866690000003E-4</v>
      </c>
      <c r="D37" s="15">
        <v>1</v>
      </c>
      <c r="E37" s="10">
        <f>C37*D37</f>
        <v>7.1956866690000003E-4</v>
      </c>
      <c r="F37" s="11">
        <f>SUM($E$2:E37)</f>
        <v>1.2900290140464998</v>
      </c>
    </row>
    <row r="38" spans="1:6" ht="173.25" thickBot="1" x14ac:dyDescent="0.35">
      <c r="A38" s="3">
        <v>37</v>
      </c>
      <c r="B38" s="6" t="s">
        <v>49</v>
      </c>
      <c r="C38" s="10">
        <v>7.1944465579999999E-4</v>
      </c>
      <c r="D38" s="15">
        <v>1</v>
      </c>
      <c r="E38" s="10">
        <f>C38*D38</f>
        <v>7.1944465579999999E-4</v>
      </c>
      <c r="F38" s="11">
        <f>SUM($E$2:E38)</f>
        <v>1.2907484587022999</v>
      </c>
    </row>
    <row r="39" spans="1:6" ht="52.5" thickBot="1" x14ac:dyDescent="0.35">
      <c r="A39" s="3">
        <v>38</v>
      </c>
      <c r="B39" s="6" t="s">
        <v>30</v>
      </c>
      <c r="C39" s="10">
        <v>7.1728858380000005E-4</v>
      </c>
      <c r="D39" s="15">
        <v>1</v>
      </c>
      <c r="E39" s="10">
        <f>C39*D39</f>
        <v>7.1728858380000005E-4</v>
      </c>
      <c r="F39" s="11">
        <f>SUM($E$2:E39)</f>
        <v>1.2914657472861</v>
      </c>
    </row>
    <row r="40" spans="1:6" ht="138.75" thickBot="1" x14ac:dyDescent="0.35">
      <c r="A40" s="3">
        <v>39</v>
      </c>
      <c r="B40" s="6" t="s">
        <v>50</v>
      </c>
      <c r="C40" s="10">
        <v>6.4455336329999997E-4</v>
      </c>
      <c r="D40" s="15">
        <v>1</v>
      </c>
      <c r="E40" s="10">
        <f>C40*D40</f>
        <v>6.4455336329999997E-4</v>
      </c>
      <c r="F40" s="11">
        <f>SUM($E$2:E40)</f>
        <v>1.2921103006493999</v>
      </c>
    </row>
    <row r="41" spans="1:6" ht="52.5" thickBot="1" x14ac:dyDescent="0.35">
      <c r="A41" s="3">
        <v>40</v>
      </c>
      <c r="B41" s="6" t="s">
        <v>31</v>
      </c>
      <c r="C41" s="10">
        <v>5.8737238320000001E-4</v>
      </c>
      <c r="D41" s="15">
        <v>1</v>
      </c>
      <c r="E41" s="10">
        <f>C41*D41</f>
        <v>5.8737238320000001E-4</v>
      </c>
      <c r="F41" s="11">
        <f>SUM($E$2:E41)</f>
        <v>1.2926976730325999</v>
      </c>
    </row>
    <row r="42" spans="1:6" ht="52.5" thickBot="1" x14ac:dyDescent="0.35">
      <c r="A42" s="3">
        <v>41</v>
      </c>
      <c r="B42" s="6" t="s">
        <v>32</v>
      </c>
      <c r="C42" s="10">
        <v>5.1126870339999997E-4</v>
      </c>
      <c r="D42" s="15">
        <v>1</v>
      </c>
      <c r="E42" s="10">
        <f>C42*D42</f>
        <v>5.1126870339999997E-4</v>
      </c>
      <c r="F42" s="11">
        <f>SUM($E$2:E42)</f>
        <v>1.2932089417359998</v>
      </c>
    </row>
    <row r="43" spans="1:6" ht="35.25" thickBot="1" x14ac:dyDescent="0.35">
      <c r="A43" s="3">
        <v>42</v>
      </c>
      <c r="B43" s="6" t="s">
        <v>34</v>
      </c>
      <c r="C43" s="10">
        <v>4.8987101720000001E-4</v>
      </c>
      <c r="D43" s="15">
        <v>1</v>
      </c>
      <c r="E43" s="10">
        <f>C43*D43</f>
        <v>4.8987101720000001E-4</v>
      </c>
      <c r="F43" s="11">
        <f>SUM($E$2:E43)</f>
        <v>1.2936988127531999</v>
      </c>
    </row>
    <row r="44" spans="1:6" ht="52.5" thickBot="1" x14ac:dyDescent="0.35">
      <c r="A44" s="3">
        <v>43</v>
      </c>
      <c r="B44" s="6" t="s">
        <v>33</v>
      </c>
      <c r="C44" s="10">
        <v>4.891559383E-4</v>
      </c>
      <c r="D44" s="15">
        <v>1</v>
      </c>
      <c r="E44" s="10">
        <f>C44*D44</f>
        <v>4.891559383E-4</v>
      </c>
      <c r="F44" s="11">
        <f>SUM($E$2:E44)</f>
        <v>1.2941879686914999</v>
      </c>
    </row>
    <row r="45" spans="1:6" ht="156" thickBot="1" x14ac:dyDescent="0.35">
      <c r="A45" s="3">
        <v>44</v>
      </c>
      <c r="B45" s="6" t="s">
        <v>51</v>
      </c>
      <c r="C45" s="10">
        <v>4.6292311560000002E-4</v>
      </c>
      <c r="D45" s="15">
        <v>1</v>
      </c>
      <c r="E45" s="10">
        <f>C45*D45</f>
        <v>4.6292311560000002E-4</v>
      </c>
      <c r="F45" s="11">
        <f>SUM($E$2:E45)</f>
        <v>1.2946508918070998</v>
      </c>
    </row>
    <row r="46" spans="1:6" ht="104.25" thickBot="1" x14ac:dyDescent="0.35">
      <c r="A46" s="3">
        <v>45</v>
      </c>
      <c r="B46" s="6" t="s">
        <v>52</v>
      </c>
      <c r="C46" s="10">
        <v>4.4244037890000002E-4</v>
      </c>
      <c r="D46" s="15">
        <v>1</v>
      </c>
      <c r="E46" s="10">
        <f>C46*D46</f>
        <v>4.4244037890000002E-4</v>
      </c>
      <c r="F46" s="11">
        <f>SUM($E$2:E46)</f>
        <v>1.2950933321859999</v>
      </c>
    </row>
    <row r="47" spans="1:6" ht="190.5" thickBot="1" x14ac:dyDescent="0.35">
      <c r="A47" s="3">
        <v>46</v>
      </c>
      <c r="B47" s="6" t="s">
        <v>53</v>
      </c>
      <c r="C47" s="10">
        <v>4.3221963639999999E-4</v>
      </c>
      <c r="D47" s="15">
        <v>1</v>
      </c>
      <c r="E47" s="10">
        <f>C47*D47</f>
        <v>4.3221963639999999E-4</v>
      </c>
      <c r="F47" s="11">
        <f>SUM($E$2:E47)</f>
        <v>1.2955255518223998</v>
      </c>
    </row>
    <row r="48" spans="1:6" ht="121.5" thickBot="1" x14ac:dyDescent="0.35">
      <c r="A48" s="3">
        <v>47</v>
      </c>
      <c r="B48" s="6" t="s">
        <v>54</v>
      </c>
      <c r="C48" s="10">
        <v>4.0796929990000001E-4</v>
      </c>
      <c r="D48" s="15">
        <v>1</v>
      </c>
      <c r="E48" s="10">
        <f>C48*D48</f>
        <v>4.0796929990000001E-4</v>
      </c>
      <c r="F48" s="11">
        <f>SUM($E$2:E48)</f>
        <v>1.2959335211222998</v>
      </c>
    </row>
    <row r="49" spans="1:6" ht="138.75" thickBot="1" x14ac:dyDescent="0.35">
      <c r="A49" s="3">
        <v>48</v>
      </c>
      <c r="B49" s="6" t="s">
        <v>55</v>
      </c>
      <c r="C49" s="10">
        <v>3.7599351889999998E-4</v>
      </c>
      <c r="D49" s="15">
        <v>1</v>
      </c>
      <c r="E49" s="10">
        <f>C49*D49</f>
        <v>3.7599351889999998E-4</v>
      </c>
      <c r="F49" s="11">
        <f>SUM($E$2:E49)</f>
        <v>1.2963095146411998</v>
      </c>
    </row>
    <row r="50" spans="1:6" ht="138.75" thickBot="1" x14ac:dyDescent="0.35">
      <c r="A50" s="3">
        <v>49</v>
      </c>
      <c r="B50" s="6" t="s">
        <v>56</v>
      </c>
      <c r="C50" s="10">
        <v>3.7595481420000002E-4</v>
      </c>
      <c r="D50" s="15">
        <v>1</v>
      </c>
      <c r="E50" s="10">
        <f>C50*D50</f>
        <v>3.7595481420000002E-4</v>
      </c>
      <c r="F50" s="11">
        <f>SUM($E$2:E50)</f>
        <v>1.2966854694553998</v>
      </c>
    </row>
    <row r="51" spans="1:6" ht="138.75" thickBot="1" x14ac:dyDescent="0.35">
      <c r="A51" s="3">
        <v>50</v>
      </c>
      <c r="B51" s="6" t="s">
        <v>57</v>
      </c>
      <c r="C51" s="10">
        <v>3.378409635E-4</v>
      </c>
      <c r="D51" s="15">
        <v>1</v>
      </c>
      <c r="E51" s="10">
        <f>C51*D51</f>
        <v>3.378409635E-4</v>
      </c>
      <c r="F51" s="11">
        <f>SUM($E$2:E51)</f>
        <v>1.2970233104188997</v>
      </c>
    </row>
    <row r="52" spans="1:6" ht="87" thickBot="1" x14ac:dyDescent="0.35">
      <c r="A52" s="3">
        <v>51</v>
      </c>
      <c r="B52" s="6" t="s">
        <v>58</v>
      </c>
      <c r="C52" s="10">
        <v>3.3778040109999998E-4</v>
      </c>
      <c r="D52" s="15">
        <v>1</v>
      </c>
      <c r="E52" s="10">
        <f>C52*D52</f>
        <v>3.3778040109999998E-4</v>
      </c>
      <c r="F52" s="11">
        <f>SUM($E$2:E52)</f>
        <v>1.2973610908199997</v>
      </c>
    </row>
    <row r="53" spans="1:6" ht="104.25" thickBot="1" x14ac:dyDescent="0.35">
      <c r="A53" s="3">
        <v>52</v>
      </c>
      <c r="B53" s="6" t="s">
        <v>59</v>
      </c>
      <c r="C53" s="10">
        <v>3.3770681559999998E-4</v>
      </c>
      <c r="D53" s="15">
        <v>1</v>
      </c>
      <c r="E53" s="10">
        <f>C53*D53</f>
        <v>3.3770681559999998E-4</v>
      </c>
      <c r="F53" s="11">
        <f>SUM($E$2:E53)</f>
        <v>1.2976987976355998</v>
      </c>
    </row>
    <row r="54" spans="1:6" ht="121.5" thickBot="1" x14ac:dyDescent="0.35">
      <c r="A54" s="3">
        <v>53</v>
      </c>
      <c r="B54" s="6" t="s">
        <v>60</v>
      </c>
      <c r="C54" s="10">
        <v>2.8869896499999999E-4</v>
      </c>
      <c r="D54" s="15">
        <v>1</v>
      </c>
      <c r="E54" s="10">
        <f>C54*D54</f>
        <v>2.8869896499999999E-4</v>
      </c>
      <c r="F54" s="11">
        <f>SUM($E$2:E54)</f>
        <v>1.2979874966005998</v>
      </c>
    </row>
    <row r="55" spans="1:6" ht="138.75" thickBot="1" x14ac:dyDescent="0.35">
      <c r="A55" s="3">
        <v>54</v>
      </c>
      <c r="B55" s="6" t="s">
        <v>61</v>
      </c>
      <c r="C55" s="10">
        <v>2.8849282999999999E-4</v>
      </c>
      <c r="D55" s="15">
        <v>1</v>
      </c>
      <c r="E55" s="10">
        <f>C55*D55</f>
        <v>2.8849282999999999E-4</v>
      </c>
      <c r="F55" s="11">
        <f>SUM($E$2:E55)</f>
        <v>1.2982759894305997</v>
      </c>
    </row>
    <row r="56" spans="1:6" ht="173.25" thickBot="1" x14ac:dyDescent="0.35">
      <c r="A56" s="3">
        <v>55</v>
      </c>
      <c r="B56" s="6" t="s">
        <v>62</v>
      </c>
      <c r="C56" s="10">
        <v>2.8847290769999997E-4</v>
      </c>
      <c r="D56" s="15">
        <v>1</v>
      </c>
      <c r="E56" s="10">
        <f>C56*D56</f>
        <v>2.8847290769999997E-4</v>
      </c>
      <c r="F56" s="11">
        <f>SUM($E$2:E56)</f>
        <v>1.2985644623382997</v>
      </c>
    </row>
    <row r="57" spans="1:6" ht="190.5" thickBot="1" x14ac:dyDescent="0.35">
      <c r="A57" s="3">
        <v>56</v>
      </c>
      <c r="B57" s="6" t="s">
        <v>63</v>
      </c>
      <c r="C57" s="10">
        <v>2.517157117E-4</v>
      </c>
      <c r="D57" s="15">
        <v>1</v>
      </c>
      <c r="E57" s="10">
        <f>C57*D57</f>
        <v>2.517157117E-4</v>
      </c>
      <c r="F57" s="11">
        <f>SUM($E$2:E57)</f>
        <v>1.2988161780499996</v>
      </c>
    </row>
    <row r="58" spans="1:6" ht="138.75" thickBot="1" x14ac:dyDescent="0.35">
      <c r="A58" s="3">
        <v>57</v>
      </c>
      <c r="B58" s="6" t="s">
        <v>64</v>
      </c>
      <c r="C58" s="10">
        <v>2.5063298089999999E-4</v>
      </c>
      <c r="D58" s="15">
        <v>1</v>
      </c>
      <c r="E58" s="10">
        <f>C58*D58</f>
        <v>2.5063298089999999E-4</v>
      </c>
      <c r="F58" s="11">
        <f>SUM($E$2:E58)</f>
        <v>1.2990668110308996</v>
      </c>
    </row>
    <row r="59" spans="1:6" ht="121.5" thickBot="1" x14ac:dyDescent="0.35">
      <c r="A59" s="3">
        <v>58</v>
      </c>
      <c r="B59" s="6" t="s">
        <v>65</v>
      </c>
      <c r="C59" s="10">
        <v>2.3807873299999999E-4</v>
      </c>
      <c r="D59" s="15">
        <v>1</v>
      </c>
      <c r="E59" s="10">
        <f>C59*D59</f>
        <v>2.3807873299999999E-4</v>
      </c>
      <c r="F59" s="11">
        <f>SUM($E$2:E59)</f>
        <v>1.2993048897638997</v>
      </c>
    </row>
    <row r="60" spans="1:6" ht="69.75" thickBot="1" x14ac:dyDescent="0.35">
      <c r="A60" s="3">
        <v>59</v>
      </c>
      <c r="B60" s="6" t="s">
        <v>66</v>
      </c>
      <c r="C60" s="10">
        <v>2.2575396730000001E-4</v>
      </c>
      <c r="D60" s="15">
        <v>1</v>
      </c>
      <c r="E60" s="10">
        <f>C60*D60</f>
        <v>2.2575396730000001E-4</v>
      </c>
      <c r="F60" s="11">
        <f>SUM($E$2:E60)</f>
        <v>1.2995306437311998</v>
      </c>
    </row>
    <row r="61" spans="1:6" ht="138.75" thickBot="1" x14ac:dyDescent="0.35">
      <c r="A61" s="3">
        <v>60</v>
      </c>
      <c r="B61" s="6" t="s">
        <v>67</v>
      </c>
      <c r="C61" s="10">
        <v>2.194229826E-4</v>
      </c>
      <c r="D61" s="15">
        <v>1</v>
      </c>
      <c r="E61" s="10">
        <f>C61*D61</f>
        <v>2.194229826E-4</v>
      </c>
      <c r="F61" s="11">
        <f>SUM($E$2:E61)</f>
        <v>1.2997500667137998</v>
      </c>
    </row>
    <row r="62" spans="1:6" ht="190.5" thickBot="1" x14ac:dyDescent="0.35">
      <c r="A62" s="3">
        <v>61</v>
      </c>
      <c r="B62" s="6" t="s">
        <v>68</v>
      </c>
      <c r="C62" s="10">
        <v>2.1431452919999999E-4</v>
      </c>
      <c r="D62" s="15">
        <v>1</v>
      </c>
      <c r="E62" s="10">
        <f>C62*D62</f>
        <v>2.1431452919999999E-4</v>
      </c>
      <c r="F62" s="11">
        <f>SUM($E$2:E62)</f>
        <v>1.2999643812429997</v>
      </c>
    </row>
    <row r="63" spans="1:6" ht="173.25" thickBot="1" x14ac:dyDescent="0.35">
      <c r="A63" s="3">
        <v>62</v>
      </c>
      <c r="B63" s="6" t="s">
        <v>69</v>
      </c>
      <c r="C63" s="10">
        <v>2.043567828E-4</v>
      </c>
      <c r="D63" s="15">
        <v>1</v>
      </c>
      <c r="E63" s="10">
        <f>C63*D63</f>
        <v>2.043567828E-4</v>
      </c>
      <c r="F63" s="11">
        <f>SUM($E$2:E63)</f>
        <v>1.3001687380257998</v>
      </c>
    </row>
    <row r="64" spans="1:6" ht="207.75" thickBot="1" x14ac:dyDescent="0.35">
      <c r="A64" s="3">
        <v>63</v>
      </c>
      <c r="B64" s="6" t="s">
        <v>70</v>
      </c>
      <c r="C64" s="10">
        <v>2.030361431E-4</v>
      </c>
      <c r="D64" s="15">
        <v>1</v>
      </c>
      <c r="E64" s="10">
        <f>C64*D64</f>
        <v>2.030361431E-4</v>
      </c>
      <c r="F64" s="11">
        <f>SUM($E$2:E64)</f>
        <v>1.3003717741688998</v>
      </c>
    </row>
    <row r="65" spans="1:6" ht="156" thickBot="1" x14ac:dyDescent="0.35">
      <c r="A65" s="3">
        <v>64</v>
      </c>
      <c r="B65" s="6" t="s">
        <v>71</v>
      </c>
      <c r="C65" s="10">
        <v>1.6814468139999999E-4</v>
      </c>
      <c r="D65" s="15">
        <v>1</v>
      </c>
      <c r="E65" s="10">
        <f>C65*D65</f>
        <v>1.6814468139999999E-4</v>
      </c>
      <c r="F65" s="11">
        <f>SUM($E$2:E65)</f>
        <v>1.3005399188502997</v>
      </c>
    </row>
    <row r="66" spans="1:6" ht="69.75" thickBot="1" x14ac:dyDescent="0.35">
      <c r="A66" s="3">
        <v>65</v>
      </c>
      <c r="B66" s="6" t="s">
        <v>36</v>
      </c>
      <c r="C66" s="10">
        <v>1.5520297939999999E-4</v>
      </c>
      <c r="D66" s="15">
        <v>1</v>
      </c>
      <c r="E66" s="10">
        <f>C66*D66</f>
        <v>1.5520297939999999E-4</v>
      </c>
      <c r="F66" s="11">
        <f>SUM($E$2:E66)</f>
        <v>1.3006951218296998</v>
      </c>
    </row>
    <row r="67" spans="1:6" ht="138.75" thickBot="1" x14ac:dyDescent="0.35">
      <c r="A67" s="3">
        <v>66</v>
      </c>
      <c r="B67" s="6" t="s">
        <v>72</v>
      </c>
      <c r="C67" s="10">
        <v>1.4265171199999999E-4</v>
      </c>
      <c r="D67" s="15">
        <v>1</v>
      </c>
      <c r="E67" s="10">
        <f>C67*D67</f>
        <v>1.4265171199999999E-4</v>
      </c>
      <c r="F67" s="11">
        <f>SUM($E$2:E67)</f>
        <v>1.3008377735416998</v>
      </c>
    </row>
    <row r="68" spans="1:6" ht="156" thickBot="1" x14ac:dyDescent="0.35">
      <c r="A68" s="3">
        <v>67</v>
      </c>
      <c r="B68" s="6" t="s">
        <v>73</v>
      </c>
      <c r="C68" s="10">
        <v>1.4257010080000001E-4</v>
      </c>
      <c r="D68" s="15">
        <v>1</v>
      </c>
      <c r="E68" s="10">
        <f>C68*D68</f>
        <v>1.4257010080000001E-4</v>
      </c>
      <c r="F68" s="11">
        <f>SUM($E$2:E68)</f>
        <v>1.3009803436424998</v>
      </c>
    </row>
    <row r="69" spans="1:6" ht="173.25" thickBot="1" x14ac:dyDescent="0.35">
      <c r="A69" s="3">
        <v>68</v>
      </c>
      <c r="B69" s="6" t="s">
        <v>74</v>
      </c>
      <c r="C69" s="10">
        <v>1.192734285E-4</v>
      </c>
      <c r="D69" s="15">
        <v>1</v>
      </c>
      <c r="E69" s="10">
        <f>C69*D69</f>
        <v>1.192734285E-4</v>
      </c>
      <c r="F69" s="11">
        <f>SUM($E$2:E69)</f>
        <v>1.3010996170709999</v>
      </c>
    </row>
    <row r="70" spans="1:6" ht="69.75" thickBot="1" x14ac:dyDescent="0.35">
      <c r="A70" s="3">
        <v>69</v>
      </c>
      <c r="B70" s="6" t="s">
        <v>75</v>
      </c>
      <c r="C70" s="10">
        <v>1.028032253E-4</v>
      </c>
      <c r="D70" s="15">
        <v>1</v>
      </c>
      <c r="E70" s="10">
        <f>C70*D70</f>
        <v>1.028032253E-4</v>
      </c>
      <c r="F70" s="11">
        <f>SUM($E$2:E70)</f>
        <v>1.3012024202963</v>
      </c>
    </row>
    <row r="71" spans="1:6" ht="156" thickBot="1" x14ac:dyDescent="0.35">
      <c r="A71" s="3">
        <v>70</v>
      </c>
      <c r="B71" s="6" t="s">
        <v>76</v>
      </c>
      <c r="C71" s="10">
        <v>9.814476426E-5</v>
      </c>
      <c r="D71" s="15">
        <v>1</v>
      </c>
      <c r="E71" s="10">
        <f>C71*D71</f>
        <v>9.814476426E-5</v>
      </c>
      <c r="F71" s="11">
        <f>SUM($E$2:E71)</f>
        <v>1.30130056506056</v>
      </c>
    </row>
    <row r="72" spans="1:6" ht="121.5" thickBot="1" x14ac:dyDescent="0.35">
      <c r="A72" s="3">
        <v>71</v>
      </c>
      <c r="B72" s="6" t="s">
        <v>77</v>
      </c>
      <c r="C72" s="10">
        <v>9.3582348620000001E-5</v>
      </c>
      <c r="D72" s="15">
        <v>1</v>
      </c>
      <c r="E72" s="10">
        <f>C72*D72</f>
        <v>9.3582348620000001E-5</v>
      </c>
      <c r="F72" s="11">
        <f>SUM($E$2:E72)</f>
        <v>1.3013941474091799</v>
      </c>
    </row>
    <row r="73" spans="1:6" ht="87" thickBot="1" x14ac:dyDescent="0.35">
      <c r="A73" s="3">
        <v>72</v>
      </c>
      <c r="B73" s="6" t="s">
        <v>37</v>
      </c>
      <c r="C73" s="10">
        <v>9.219283492E-5</v>
      </c>
      <c r="D73" s="15">
        <v>1</v>
      </c>
      <c r="E73" s="10">
        <f>C73*D73</f>
        <v>9.219283492E-5</v>
      </c>
      <c r="F73" s="11">
        <f>SUM($E$2:E73)</f>
        <v>1.3014863402440999</v>
      </c>
    </row>
    <row r="74" spans="1:6" ht="104.25" thickBot="1" x14ac:dyDescent="0.35">
      <c r="A74" s="3">
        <v>73</v>
      </c>
      <c r="B74" s="6" t="s">
        <v>78</v>
      </c>
      <c r="C74" s="10">
        <v>8.8685124529999995E-5</v>
      </c>
      <c r="D74" s="15">
        <v>1</v>
      </c>
      <c r="E74" s="10">
        <f>C74*D74</f>
        <v>8.8685124529999995E-5</v>
      </c>
      <c r="F74" s="11">
        <f>SUM($E$2:E74)</f>
        <v>1.30157502536863</v>
      </c>
    </row>
    <row r="75" spans="1:6" ht="69.75" thickBot="1" x14ac:dyDescent="0.35">
      <c r="A75" s="3">
        <v>74</v>
      </c>
      <c r="B75" s="6" t="s">
        <v>79</v>
      </c>
      <c r="C75" s="10">
        <v>7.3247111029999998E-5</v>
      </c>
      <c r="D75" s="15">
        <v>1</v>
      </c>
      <c r="E75" s="10">
        <f>C75*D75</f>
        <v>7.3247111029999998E-5</v>
      </c>
      <c r="F75" s="11">
        <f>SUM($E$2:E75)</f>
        <v>1.3016482724796601</v>
      </c>
    </row>
    <row r="76" spans="1:6" ht="87" thickBot="1" x14ac:dyDescent="0.35">
      <c r="A76" s="3">
        <v>75</v>
      </c>
      <c r="B76" s="6" t="s">
        <v>80</v>
      </c>
      <c r="C76" s="10">
        <v>7.1997732360000005E-5</v>
      </c>
      <c r="D76" s="15">
        <v>1</v>
      </c>
      <c r="E76" s="10">
        <f>C76*D76</f>
        <v>7.1997732360000005E-5</v>
      </c>
      <c r="F76" s="11">
        <f>SUM($E$2:E76)</f>
        <v>1.3017202702120201</v>
      </c>
    </row>
    <row r="77" spans="1:6" ht="69.75" thickBot="1" x14ac:dyDescent="0.35">
      <c r="A77" s="3">
        <v>76</v>
      </c>
      <c r="B77" s="6" t="s">
        <v>81</v>
      </c>
      <c r="C77" s="10">
        <v>6.9598919349999998E-5</v>
      </c>
      <c r="D77" s="15">
        <v>1</v>
      </c>
      <c r="E77" s="10">
        <f>C77*D77</f>
        <v>6.9598919349999998E-5</v>
      </c>
      <c r="F77" s="11">
        <f>SUM($E$2:E77)</f>
        <v>1.3017898691313701</v>
      </c>
    </row>
    <row r="78" spans="1:6" ht="87" thickBot="1" x14ac:dyDescent="0.35">
      <c r="A78" s="3">
        <v>77</v>
      </c>
      <c r="B78" s="6" t="s">
        <v>82</v>
      </c>
      <c r="C78" s="10">
        <v>6.9598347000000003E-5</v>
      </c>
      <c r="D78" s="15">
        <v>1</v>
      </c>
      <c r="E78" s="10">
        <f>C78*D78</f>
        <v>6.9598347000000003E-5</v>
      </c>
      <c r="F78" s="11">
        <f>SUM($E$2:E78)</f>
        <v>1.3018594674783701</v>
      </c>
    </row>
    <row r="79" spans="1:6" ht="69.75" thickBot="1" x14ac:dyDescent="0.35">
      <c r="A79" s="3">
        <v>78</v>
      </c>
      <c r="B79" s="6" t="s">
        <v>83</v>
      </c>
      <c r="C79" s="10">
        <v>6.9443881219999999E-5</v>
      </c>
      <c r="D79" s="15">
        <v>1</v>
      </c>
      <c r="E79" s="10">
        <f>C79*D79</f>
        <v>6.9443881219999999E-5</v>
      </c>
      <c r="F79" s="11">
        <f>SUM($E$2:E79)</f>
        <v>1.3019289113595902</v>
      </c>
    </row>
    <row r="80" spans="1:6" ht="69.75" thickBot="1" x14ac:dyDescent="0.35">
      <c r="A80" s="3">
        <v>79</v>
      </c>
      <c r="B80" s="6" t="s">
        <v>84</v>
      </c>
      <c r="C80" s="10">
        <v>6.2845956440000007E-5</v>
      </c>
      <c r="D80" s="15">
        <v>1</v>
      </c>
      <c r="E80" s="10">
        <f>C80*D80</f>
        <v>6.2845956440000007E-5</v>
      </c>
      <c r="F80" s="11">
        <f>SUM($E$2:E80)</f>
        <v>1.3019917573160302</v>
      </c>
    </row>
    <row r="81" spans="1:6" ht="52.5" thickBot="1" x14ac:dyDescent="0.35">
      <c r="A81" s="3">
        <v>80</v>
      </c>
      <c r="B81" s="6" t="s">
        <v>85</v>
      </c>
      <c r="C81" s="10">
        <v>6.2826400480000004E-5</v>
      </c>
      <c r="D81" s="15">
        <v>1</v>
      </c>
      <c r="E81" s="10">
        <f>C81*D81</f>
        <v>6.2826400480000004E-5</v>
      </c>
      <c r="F81" s="11">
        <f>SUM($E$2:E81)</f>
        <v>1.3020545837165103</v>
      </c>
    </row>
    <row r="82" spans="1:6" ht="87" thickBot="1" x14ac:dyDescent="0.35">
      <c r="A82" s="3">
        <v>81</v>
      </c>
      <c r="B82" s="6" t="s">
        <v>86</v>
      </c>
      <c r="C82" s="10">
        <v>5.0270151889999999E-5</v>
      </c>
      <c r="D82" s="15">
        <v>1</v>
      </c>
      <c r="E82" s="10">
        <f>C82*D82</f>
        <v>5.0270151889999999E-5</v>
      </c>
      <c r="F82" s="11">
        <f>SUM($E$2:E82)</f>
        <v>1.3021048538684004</v>
      </c>
    </row>
    <row r="83" spans="1:6" ht="69.75" thickBot="1" x14ac:dyDescent="0.35">
      <c r="A83" s="3">
        <v>82</v>
      </c>
      <c r="B83" s="6" t="s">
        <v>87</v>
      </c>
      <c r="C83" s="10">
        <v>4.6874251269999997E-5</v>
      </c>
      <c r="D83" s="15">
        <v>1</v>
      </c>
      <c r="E83" s="10">
        <f>C83*D83</f>
        <v>4.6874251269999997E-5</v>
      </c>
      <c r="F83" s="11">
        <f>SUM($E$2:E83)</f>
        <v>1.3021517281196704</v>
      </c>
    </row>
    <row r="84" spans="1:6" ht="87" thickBot="1" x14ac:dyDescent="0.35">
      <c r="A84" s="3">
        <v>83</v>
      </c>
      <c r="B84" s="6" t="s">
        <v>88</v>
      </c>
      <c r="C84" s="10">
        <v>4.6838907480000001E-5</v>
      </c>
      <c r="D84" s="15">
        <v>1</v>
      </c>
      <c r="E84" s="10">
        <f>C84*D84</f>
        <v>4.6838907480000001E-5</v>
      </c>
      <c r="F84" s="11">
        <f>SUM($E$2:E84)</f>
        <v>1.3021985670271503</v>
      </c>
    </row>
    <row r="85" spans="1:6" ht="121.5" thickBot="1" x14ac:dyDescent="0.35">
      <c r="A85" s="3">
        <v>84</v>
      </c>
      <c r="B85" s="6" t="s">
        <v>89</v>
      </c>
      <c r="C85" s="10">
        <v>4.2388655830000002E-5</v>
      </c>
      <c r="D85" s="15">
        <v>1</v>
      </c>
      <c r="E85" s="10">
        <f>C85*D85</f>
        <v>4.2388655830000002E-5</v>
      </c>
      <c r="F85" s="11">
        <f>SUM($E$2:E85)</f>
        <v>1.3022409556829804</v>
      </c>
    </row>
    <row r="86" spans="1:6" ht="87" thickBot="1" x14ac:dyDescent="0.35">
      <c r="A86" s="3">
        <v>85</v>
      </c>
      <c r="B86" s="6" t="s">
        <v>90</v>
      </c>
      <c r="C86" s="10">
        <v>3.8980991530000001E-5</v>
      </c>
      <c r="D86" s="15">
        <v>1</v>
      </c>
      <c r="E86" s="10">
        <f>C86*D86</f>
        <v>3.8980991530000001E-5</v>
      </c>
      <c r="F86" s="11">
        <f>SUM($E$2:E86)</f>
        <v>1.3022799366745104</v>
      </c>
    </row>
    <row r="87" spans="1:6" ht="104.25" thickBot="1" x14ac:dyDescent="0.35">
      <c r="A87" s="3">
        <v>86</v>
      </c>
      <c r="B87" s="6" t="s">
        <v>91</v>
      </c>
      <c r="C87" s="10">
        <v>3.8415517330000003E-5</v>
      </c>
      <c r="D87" s="15">
        <v>1</v>
      </c>
      <c r="E87" s="10">
        <f>C87*D87</f>
        <v>3.8415517330000003E-5</v>
      </c>
      <c r="F87" s="11">
        <f>SUM($E$2:E87)</f>
        <v>1.3023183521918404</v>
      </c>
    </row>
    <row r="88" spans="1:6" ht="52.5" thickBot="1" x14ac:dyDescent="0.35">
      <c r="A88" s="3">
        <v>87</v>
      </c>
      <c r="B88" s="6" t="s">
        <v>92</v>
      </c>
      <c r="C88" s="10">
        <v>3.780488635E-5</v>
      </c>
      <c r="D88" s="15">
        <v>1</v>
      </c>
      <c r="E88" s="10">
        <f>C88*D88</f>
        <v>3.780488635E-5</v>
      </c>
      <c r="F88" s="11">
        <f>SUM($E$2:E88)</f>
        <v>1.3023561570781905</v>
      </c>
    </row>
    <row r="89" spans="1:6" ht="52.5" thickBot="1" x14ac:dyDescent="0.35">
      <c r="A89" s="3">
        <v>88</v>
      </c>
      <c r="B89" s="6" t="s">
        <v>93</v>
      </c>
      <c r="C89" s="10">
        <v>3.7748949470000003E-5</v>
      </c>
      <c r="D89" s="15">
        <v>1</v>
      </c>
      <c r="E89" s="10">
        <f>C89*D89</f>
        <v>3.7748949470000003E-5</v>
      </c>
      <c r="F89" s="11">
        <f>SUM($E$2:E89)</f>
        <v>1.3023939060276606</v>
      </c>
    </row>
    <row r="90" spans="1:6" ht="69.75" thickBot="1" x14ac:dyDescent="0.35">
      <c r="A90" s="3">
        <v>89</v>
      </c>
      <c r="B90" s="6" t="s">
        <v>94</v>
      </c>
      <c r="C90" s="10">
        <v>3.4641490849999998E-5</v>
      </c>
      <c r="D90" s="15">
        <v>1</v>
      </c>
      <c r="E90" s="10">
        <f>C90*D90</f>
        <v>3.4641490849999998E-5</v>
      </c>
      <c r="F90" s="11">
        <f>SUM($E$2:E90)</f>
        <v>1.3024285475185107</v>
      </c>
    </row>
    <row r="91" spans="1:6" ht="138.75" thickBot="1" x14ac:dyDescent="0.35">
      <c r="A91" s="3">
        <v>90</v>
      </c>
      <c r="B91" s="6" t="s">
        <v>95</v>
      </c>
      <c r="C91" s="10">
        <v>3.2802637080000003E-5</v>
      </c>
      <c r="D91" s="15">
        <v>1</v>
      </c>
      <c r="E91" s="10">
        <f>C91*D91</f>
        <v>3.2802637080000003E-5</v>
      </c>
      <c r="F91" s="11">
        <f>SUM($E$2:E91)</f>
        <v>1.3024613501555906</v>
      </c>
    </row>
    <row r="92" spans="1:6" ht="87" thickBot="1" x14ac:dyDescent="0.35">
      <c r="A92" s="3">
        <v>91</v>
      </c>
      <c r="B92" s="6" t="s">
        <v>96</v>
      </c>
      <c r="C92" s="10">
        <v>3.2185660860000002E-5</v>
      </c>
      <c r="D92" s="15">
        <v>1</v>
      </c>
      <c r="E92" s="10">
        <f>C92*D92</f>
        <v>3.2185660860000002E-5</v>
      </c>
      <c r="F92" s="11">
        <f>SUM($E$2:E92)</f>
        <v>1.3024935358164507</v>
      </c>
    </row>
    <row r="93" spans="1:6" ht="69.75" thickBot="1" x14ac:dyDescent="0.35">
      <c r="A93" s="3">
        <v>92</v>
      </c>
      <c r="B93" s="6" t="s">
        <v>97</v>
      </c>
      <c r="C93" s="10">
        <v>2.9928580270000001E-5</v>
      </c>
      <c r="D93" s="15">
        <v>1</v>
      </c>
      <c r="E93" s="10">
        <f>C93*D93</f>
        <v>2.9928580270000001E-5</v>
      </c>
      <c r="F93" s="11">
        <f>SUM($E$2:E93)</f>
        <v>1.3025234643967207</v>
      </c>
    </row>
    <row r="94" spans="1:6" ht="104.25" thickBot="1" x14ac:dyDescent="0.35">
      <c r="A94" s="3">
        <v>93</v>
      </c>
      <c r="B94" s="6" t="s">
        <v>98</v>
      </c>
      <c r="C94" s="10">
        <v>2.240918104E-5</v>
      </c>
      <c r="D94" s="15">
        <v>1</v>
      </c>
      <c r="E94" s="10">
        <f>C94*D94</f>
        <v>2.240918104E-5</v>
      </c>
      <c r="F94" s="11">
        <f>SUM($E$2:E94)</f>
        <v>1.3025458735777606</v>
      </c>
    </row>
    <row r="95" spans="1:6" ht="52.5" thickBot="1" x14ac:dyDescent="0.35">
      <c r="A95" s="3">
        <v>94</v>
      </c>
      <c r="B95" s="6" t="s">
        <v>99</v>
      </c>
      <c r="C95" s="10">
        <v>2.1084699460000001E-5</v>
      </c>
      <c r="D95" s="15">
        <v>1</v>
      </c>
      <c r="E95" s="10">
        <f>C95*D95</f>
        <v>2.1084699460000001E-5</v>
      </c>
      <c r="F95" s="11">
        <f>SUM($E$2:E95)</f>
        <v>1.3025669582772206</v>
      </c>
    </row>
    <row r="96" spans="1:6" ht="69.75" thickBot="1" x14ac:dyDescent="0.35">
      <c r="A96" s="3">
        <v>95</v>
      </c>
      <c r="B96" s="6" t="s">
        <v>100</v>
      </c>
      <c r="C96" s="10">
        <v>2.1054750659999999E-5</v>
      </c>
      <c r="D96" s="15">
        <v>1</v>
      </c>
      <c r="E96" s="10">
        <f>C96*D96</f>
        <v>2.1054750659999999E-5</v>
      </c>
      <c r="F96" s="11">
        <f>SUM($E$2:E96)</f>
        <v>1.3025880130278806</v>
      </c>
    </row>
    <row r="97" spans="1:6" ht="69.75" thickBot="1" x14ac:dyDescent="0.35">
      <c r="A97" s="3">
        <v>96</v>
      </c>
      <c r="B97" s="6" t="s">
        <v>101</v>
      </c>
      <c r="C97" s="10">
        <v>2.0239485069999999E-5</v>
      </c>
      <c r="D97" s="15">
        <v>1</v>
      </c>
      <c r="E97" s="10">
        <f>C97*D97</f>
        <v>2.0239485069999999E-5</v>
      </c>
      <c r="F97" s="11">
        <f>SUM($E$2:E97)</f>
        <v>1.3026082525129505</v>
      </c>
    </row>
    <row r="98" spans="1:6" ht="69.75" thickBot="1" x14ac:dyDescent="0.35">
      <c r="A98" s="3">
        <v>97</v>
      </c>
      <c r="B98" s="6" t="s">
        <v>35</v>
      </c>
      <c r="C98" s="10">
        <v>1.324665058E-5</v>
      </c>
      <c r="D98" s="15">
        <v>1</v>
      </c>
      <c r="E98" s="10">
        <f>C98*D98</f>
        <v>1.324665058E-5</v>
      </c>
      <c r="F98" s="11">
        <f>SUM($E$2:E98)</f>
        <v>1.3026214991635305</v>
      </c>
    </row>
    <row r="99" spans="1:6" ht="104.25" thickBot="1" x14ac:dyDescent="0.35">
      <c r="A99" s="3">
        <v>98</v>
      </c>
      <c r="B99" s="6" t="s">
        <v>102</v>
      </c>
      <c r="C99" s="10">
        <v>1.2920566730000001E-5</v>
      </c>
      <c r="D99" s="15">
        <v>1</v>
      </c>
      <c r="E99" s="10">
        <f>C99*D99</f>
        <v>1.2920566730000001E-5</v>
      </c>
      <c r="F99" s="11">
        <f>SUM($E$2:E99)</f>
        <v>1.3026344197302606</v>
      </c>
    </row>
    <row r="100" spans="1:6" ht="52.5" thickBot="1" x14ac:dyDescent="0.35">
      <c r="A100" s="3">
        <v>99</v>
      </c>
      <c r="B100" s="6" t="s">
        <v>103</v>
      </c>
      <c r="C100" s="10">
        <v>1.193353572E-5</v>
      </c>
      <c r="D100" s="15">
        <v>1</v>
      </c>
      <c r="E100" s="10">
        <f>C100*D100</f>
        <v>1.193353572E-5</v>
      </c>
      <c r="F100" s="11">
        <f>SUM($E$2:E100)</f>
        <v>1.3026463532659807</v>
      </c>
    </row>
    <row r="101" spans="1:6" ht="87" thickBot="1" x14ac:dyDescent="0.35">
      <c r="A101" s="3">
        <v>100</v>
      </c>
      <c r="B101" s="6" t="s">
        <v>104</v>
      </c>
      <c r="C101" s="10">
        <v>1.1874612379999999E-5</v>
      </c>
      <c r="D101" s="15">
        <v>1</v>
      </c>
      <c r="E101" s="10">
        <f>C101*D101</f>
        <v>1.1874612379999999E-5</v>
      </c>
      <c r="F101" s="11">
        <f>SUM($E$2:E101)</f>
        <v>1.3026582278783607</v>
      </c>
    </row>
  </sheetData>
  <sortState ref="A2:F101">
    <sortCondition descending="1" ref="C1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2018-03-21T00:40:37Z</dcterms:modified>
</cp:coreProperties>
</file>